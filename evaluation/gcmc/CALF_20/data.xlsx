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ithubDesk\GTsR\evaluation\gcmc\CALF_20\"/>
    </mc:Choice>
  </mc:AlternateContent>
  <xr:revisionPtr revIDLastSave="0" documentId="13_ncr:1_{ED154939-A053-4416-8293-1243984840F9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P2" i="1"/>
  <c r="G2" i="1"/>
  <c r="H2" i="1"/>
</calcChain>
</file>

<file path=xl/sharedStrings.xml><?xml version="1.0" encoding="utf-8"?>
<sst xmlns="http://schemas.openxmlformats.org/spreadsheetml/2006/main" count="21" uniqueCount="12">
  <si>
    <t>name</t>
  </si>
  <si>
    <t>CO2</t>
  </si>
  <si>
    <t>CO2_error</t>
  </si>
  <si>
    <t>N2</t>
  </si>
  <si>
    <t>N2_error</t>
  </si>
  <si>
    <t>unit</t>
  </si>
  <si>
    <t>mmol/g</t>
  </si>
  <si>
    <t>TASYAR_FSR_pacman</t>
  </si>
  <si>
    <t>TASYAR_pacman</t>
  </si>
  <si>
    <t>S</t>
  </si>
  <si>
    <t>logS</t>
  </si>
  <si>
    <t>raspa2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</si>
</sst>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"/>
  <sheetViews>
    <sheetView tabSelected="1" workbookViewId="0">
      <selection activeCell="L11" sqref="L11"/>
    </sheetView>
  </sheetViews>
  <sheetFormatPr defaultRowHeight="13.9" x14ac:dyDescent="0.4"/>
  <cols>
    <col min="1" max="1" width="18.796875" bestFit="1" customWidth="1"/>
    <col min="3" max="3" width="9.33203125" bestFit="1" customWidth="1"/>
  </cols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10</v>
      </c>
      <c r="J1" t="s">
        <v>11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9</v>
      </c>
      <c r="Q1" t="s">
        <v>10</v>
      </c>
    </row>
    <row r="2" spans="1:17" x14ac:dyDescent="0.4">
      <c r="A2" t="s">
        <v>7</v>
      </c>
      <c r="B2" s="1">
        <v>4.3880860000000001E-2</v>
      </c>
      <c r="C2" s="1">
        <v>1.1959620000000001E-3</v>
      </c>
      <c r="D2" s="1">
        <v>0.65588389999999996</v>
      </c>
      <c r="E2" s="1">
        <v>2.061025E-2</v>
      </c>
      <c r="F2" t="s">
        <v>6</v>
      </c>
      <c r="G2" s="1">
        <f>B2*0.9996/D2/0.0004</f>
        <v>167.1915854924934</v>
      </c>
      <c r="H2">
        <f>LOG10(G2)</f>
        <v>2.2232144162481164</v>
      </c>
      <c r="K2">
        <v>4.6675981300000002E-2</v>
      </c>
      <c r="L2">
        <v>1.2492568000000001E-3</v>
      </c>
      <c r="M2">
        <v>0.63035318439999999</v>
      </c>
      <c r="N2">
        <v>9.8208723000000001E-3</v>
      </c>
      <c r="O2" t="s">
        <v>6</v>
      </c>
      <c r="P2">
        <f>K2*0.9996/M2/0.0004</f>
        <v>185.04432143025755</v>
      </c>
      <c r="Q2">
        <f>LOG10(P2)</f>
        <v>2.2672757621717721</v>
      </c>
    </row>
    <row r="3" spans="1:17" x14ac:dyDescent="0.4">
      <c r="A3" t="s">
        <v>8</v>
      </c>
      <c r="B3">
        <v>0</v>
      </c>
      <c r="C3">
        <v>0</v>
      </c>
      <c r="D3">
        <v>0</v>
      </c>
      <c r="E3">
        <v>0</v>
      </c>
      <c r="F3" t="s">
        <v>6</v>
      </c>
      <c r="G3" s="1">
        <v>0</v>
      </c>
      <c r="H3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Guobin Zhao</dc:creator>
  <cp:lastModifiedBy>Guobin Zhao</cp:lastModifiedBy>
  <dcterms:created xsi:type="dcterms:W3CDTF">2015-06-05T18:17:20Z</dcterms:created>
  <dcterms:modified xsi:type="dcterms:W3CDTF">2026-07-13T20:09:00Z</dcterms:modified>
</cp:coreProperties>
</file>